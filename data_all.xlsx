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nech-my.sharepoint.com/personal/gregory_egloff_unine_ch/Documents/PhD/Teaching/APP_FS25/analysis APP25/APP25_RStudio/"/>
    </mc:Choice>
  </mc:AlternateContent>
  <xr:revisionPtr revIDLastSave="74" documentId="13_ncr:1_{654BF6F8-3F7D-48D6-90A1-9ED9372A6A30}" xr6:coauthVersionLast="47" xr6:coauthVersionMax="47" xr10:uidLastSave="{A2B3877C-8641-444D-8632-AE0504F98CD6}"/>
  <bookViews>
    <workbookView xWindow="-93" yWindow="-93" windowWidth="25786" windowHeight="13866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1" l="1"/>
  <c r="G2" i="1"/>
  <c r="H2" i="1"/>
  <c r="I2" i="1"/>
  <c r="J2" i="1"/>
  <c r="K2" i="1"/>
  <c r="L2" i="1"/>
  <c r="G3" i="1"/>
  <c r="H3" i="1"/>
  <c r="I3" i="1"/>
  <c r="J3" i="1"/>
  <c r="K3" i="1"/>
  <c r="L3" i="1"/>
  <c r="G4" i="1"/>
  <c r="H4" i="1"/>
  <c r="I4" i="1"/>
  <c r="J4" i="1"/>
  <c r="K4" i="1"/>
  <c r="L4" i="1"/>
  <c r="G5" i="1"/>
  <c r="H5" i="1"/>
  <c r="I5" i="1"/>
  <c r="J5" i="1"/>
  <c r="K5" i="1"/>
  <c r="L5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N2" i="1"/>
  <c r="O2" i="1"/>
  <c r="P2" i="1"/>
  <c r="N3" i="1"/>
  <c r="O3" i="1"/>
  <c r="P3" i="1"/>
  <c r="N4" i="1"/>
  <c r="O4" i="1"/>
  <c r="P4" i="1"/>
  <c r="N5" i="1"/>
  <c r="O5" i="1"/>
  <c r="P5" i="1"/>
  <c r="N6" i="1"/>
  <c r="O6" i="1"/>
  <c r="P6" i="1"/>
  <c r="N7" i="1"/>
  <c r="O7" i="1"/>
  <c r="P7" i="1"/>
  <c r="N8" i="1"/>
  <c r="O8" i="1"/>
  <c r="P8" i="1"/>
  <c r="N9" i="1"/>
  <c r="O9" i="1"/>
  <c r="P9" i="1"/>
  <c r="Q2" i="1"/>
  <c r="Q3" i="1"/>
  <c r="Q4" i="1"/>
  <c r="Q5" i="1"/>
  <c r="Q6" i="1"/>
  <c r="Q7" i="1"/>
  <c r="Q8" i="1"/>
  <c r="Q9" i="1"/>
  <c r="V2" i="1"/>
  <c r="V3" i="1"/>
  <c r="V4" i="1"/>
  <c r="V5" i="1"/>
  <c r="V6" i="1"/>
  <c r="V7" i="1"/>
  <c r="V8" i="1"/>
  <c r="Z2" i="1"/>
  <c r="AA2" i="1"/>
  <c r="Z3" i="1"/>
  <c r="AA3" i="1"/>
  <c r="Z4" i="1"/>
  <c r="AA4" i="1"/>
  <c r="Z5" i="1"/>
  <c r="AA5" i="1"/>
  <c r="Z6" i="1"/>
  <c r="AA6" i="1"/>
  <c r="Z7" i="1"/>
  <c r="AA7" i="1"/>
  <c r="Z8" i="1"/>
  <c r="AA8" i="1"/>
  <c r="Z9" i="1"/>
  <c r="AA9" i="1"/>
  <c r="Y9" i="1"/>
  <c r="X9" i="1"/>
  <c r="W9" i="1"/>
  <c r="U9" i="1"/>
  <c r="T9" i="1"/>
  <c r="S9" i="1"/>
  <c r="R9" i="1"/>
  <c r="M9" i="1"/>
  <c r="F9" i="1"/>
  <c r="Y8" i="1"/>
  <c r="X8" i="1"/>
  <c r="W8" i="1"/>
  <c r="U8" i="1"/>
  <c r="T8" i="1"/>
  <c r="S8" i="1"/>
  <c r="R8" i="1"/>
  <c r="M8" i="1"/>
  <c r="F8" i="1"/>
  <c r="Y7" i="1"/>
  <c r="X7" i="1"/>
  <c r="W7" i="1"/>
  <c r="U7" i="1"/>
  <c r="T7" i="1"/>
  <c r="S7" i="1"/>
  <c r="R7" i="1"/>
  <c r="M7" i="1"/>
  <c r="F7" i="1"/>
  <c r="Y6" i="1"/>
  <c r="X6" i="1"/>
  <c r="W6" i="1"/>
  <c r="U6" i="1"/>
  <c r="T6" i="1"/>
  <c r="S6" i="1"/>
  <c r="R6" i="1"/>
  <c r="M6" i="1"/>
  <c r="F6" i="1"/>
  <c r="Y5" i="1"/>
  <c r="X5" i="1"/>
  <c r="W5" i="1"/>
  <c r="U5" i="1"/>
  <c r="T5" i="1"/>
  <c r="S5" i="1"/>
  <c r="R5" i="1"/>
  <c r="M5" i="1"/>
  <c r="F5" i="1"/>
  <c r="Y4" i="1"/>
  <c r="X4" i="1"/>
  <c r="W4" i="1"/>
  <c r="U4" i="1"/>
  <c r="T4" i="1"/>
  <c r="S4" i="1"/>
  <c r="R4" i="1"/>
  <c r="M4" i="1"/>
  <c r="F4" i="1"/>
  <c r="Y3" i="1"/>
  <c r="X3" i="1"/>
  <c r="W3" i="1"/>
  <c r="U3" i="1"/>
  <c r="T3" i="1"/>
  <c r="S3" i="1"/>
  <c r="R3" i="1"/>
  <c r="M3" i="1"/>
  <c r="F3" i="1"/>
  <c r="Y2" i="1"/>
  <c r="X2" i="1"/>
  <c r="W2" i="1"/>
  <c r="U2" i="1"/>
  <c r="T2" i="1"/>
  <c r="S2" i="1"/>
  <c r="R2" i="1"/>
  <c r="M2" i="1"/>
  <c r="F2" i="1"/>
</calcChain>
</file>

<file path=xl/sharedStrings.xml><?xml version="1.0" encoding="utf-8"?>
<sst xmlns="http://schemas.openxmlformats.org/spreadsheetml/2006/main" count="67" uniqueCount="38">
  <si>
    <t>Plot</t>
  </si>
  <si>
    <t>nb_individ</t>
  </si>
  <si>
    <t>nb_ms</t>
  </si>
  <si>
    <t>BG_Tot</t>
  </si>
  <si>
    <t>BG_Sand</t>
  </si>
  <si>
    <t>BG_Gravel</t>
  </si>
  <si>
    <t>BG_Cobble</t>
  </si>
  <si>
    <t>BG_Stone</t>
  </si>
  <si>
    <t>BG_Soil</t>
  </si>
  <si>
    <t>BG_Dead_Org_Matt</t>
  </si>
  <si>
    <t>Veg_Tot</t>
  </si>
  <si>
    <t>Veg_Moss</t>
  </si>
  <si>
    <t>Veg_Herb</t>
  </si>
  <si>
    <t>Veg_Woody</t>
  </si>
  <si>
    <t>Water_Tot</t>
  </si>
  <si>
    <t>VegHeight_10</t>
  </si>
  <si>
    <t>VegHeight_10_30</t>
  </si>
  <si>
    <t>VegHeight_30_60</t>
  </si>
  <si>
    <t>VegHeight_60</t>
  </si>
  <si>
    <t>Canopy</t>
  </si>
  <si>
    <t>Flat_30</t>
  </si>
  <si>
    <t>Sloped_30_60</t>
  </si>
  <si>
    <t>Steep_60</t>
  </si>
  <si>
    <t>Deadwood</t>
  </si>
  <si>
    <t>Stonepiles</t>
  </si>
  <si>
    <t>F1</t>
  </si>
  <si>
    <t>F2</t>
  </si>
  <si>
    <t>F3</t>
  </si>
  <si>
    <t>F4</t>
  </si>
  <si>
    <t>C1</t>
  </si>
  <si>
    <t>C2</t>
  </si>
  <si>
    <t>C3</t>
  </si>
  <si>
    <t>C4</t>
  </si>
  <si>
    <t>site</t>
  </si>
  <si>
    <t>focal</t>
  </si>
  <si>
    <t>control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</si>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</sst>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jasmin_haberli_unine_ch/Documents/Field_sheet.xlsx" TargetMode="External"/><Relationship Id="rId2" Type="http://schemas.openxmlformats.org/officeDocument/2006/relationships/externalLinkPath" Target="https://uninech-my.sharepoint.com/personal/jasmin_haberli_unine_ch/Documents/Field_sheet.xlsx" TargetMode="External"/><Relationship Id="rId1" Type="http://schemas.openxmlformats.org/officeDocument/2006/relationships/externalLinkPath" Target="/personal/jasmin_haberli_unine_ch/Documents/Field_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 Pitfall traps"/>
      <sheetName val="Sheet Habitat F1"/>
      <sheetName val="Sheet Habitat F2"/>
      <sheetName val="Sheet Habitat F3"/>
      <sheetName val="Sheet Habitat F4"/>
      <sheetName val="Sheet Habitat C1"/>
      <sheetName val="Sheet Habitat C2"/>
      <sheetName val="Sheet Habitat C3"/>
      <sheetName val="Sheet Habitat C4"/>
      <sheetName val="Genus_mapping (R)"/>
      <sheetName val="Data Sheet (R)"/>
      <sheetName val="Invertebrates"/>
      <sheetName val="Morphospecies (R)"/>
      <sheetName val="Habitat mapping (R)"/>
      <sheetName val="Feuil2"/>
      <sheetName val="Labels"/>
    </sheetNames>
    <sheetDataSet>
      <sheetData sheetId="0"/>
      <sheetData sheetId="1">
        <row r="8">
          <cell r="C8">
            <v>6</v>
          </cell>
          <cell r="F8">
            <v>94</v>
          </cell>
          <cell r="I8">
            <v>0</v>
          </cell>
        </row>
        <row r="11">
          <cell r="C11">
            <v>0</v>
          </cell>
          <cell r="F11">
            <v>1</v>
          </cell>
          <cell r="I11">
            <v>70</v>
          </cell>
        </row>
        <row r="13">
          <cell r="C13">
            <v>0</v>
          </cell>
          <cell r="F13">
            <v>98</v>
          </cell>
          <cell r="I13">
            <v>20</v>
          </cell>
        </row>
        <row r="15">
          <cell r="C15">
            <v>30</v>
          </cell>
          <cell r="F15">
            <v>1</v>
          </cell>
          <cell r="I15">
            <v>10</v>
          </cell>
        </row>
        <row r="17">
          <cell r="C17">
            <v>55</v>
          </cell>
        </row>
        <row r="18">
          <cell r="F18">
            <v>4</v>
          </cell>
          <cell r="I18">
            <v>8</v>
          </cell>
        </row>
        <row r="19">
          <cell r="C19">
            <v>5</v>
          </cell>
        </row>
        <row r="20">
          <cell r="F20">
            <v>25</v>
          </cell>
        </row>
        <row r="21">
          <cell r="C21">
            <v>10</v>
          </cell>
        </row>
        <row r="22">
          <cell r="F22">
            <v>70</v>
          </cell>
        </row>
        <row r="24">
          <cell r="F24">
            <v>1</v>
          </cell>
        </row>
        <row r="27">
          <cell r="C27">
            <v>0</v>
          </cell>
          <cell r="F27">
            <v>0</v>
          </cell>
        </row>
      </sheetData>
      <sheetData sheetId="2">
        <row r="8">
          <cell r="C8">
            <v>42</v>
          </cell>
          <cell r="F8">
            <v>55</v>
          </cell>
          <cell r="I8">
            <v>3</v>
          </cell>
        </row>
        <row r="11">
          <cell r="C11">
            <v>18</v>
          </cell>
          <cell r="F11">
            <v>4</v>
          </cell>
          <cell r="I11">
            <v>80</v>
          </cell>
        </row>
        <row r="13">
          <cell r="C13">
            <v>0</v>
          </cell>
          <cell r="F13">
            <v>95</v>
          </cell>
          <cell r="I13">
            <v>15</v>
          </cell>
        </row>
        <row r="15">
          <cell r="C15">
            <v>2</v>
          </cell>
          <cell r="F15">
            <v>1</v>
          </cell>
          <cell r="I15">
            <v>5</v>
          </cell>
        </row>
        <row r="17">
          <cell r="C17">
            <v>18</v>
          </cell>
        </row>
        <row r="18">
          <cell r="F18">
            <v>15</v>
          </cell>
          <cell r="I18">
            <v>5</v>
          </cell>
        </row>
        <row r="19">
          <cell r="C19">
            <v>4</v>
          </cell>
        </row>
        <row r="20">
          <cell r="F20">
            <v>45</v>
          </cell>
        </row>
        <row r="21">
          <cell r="C21">
            <v>58</v>
          </cell>
        </row>
        <row r="22">
          <cell r="F22">
            <v>35</v>
          </cell>
        </row>
        <row r="24">
          <cell r="F24">
            <v>5</v>
          </cell>
        </row>
        <row r="27">
          <cell r="C27">
            <v>4</v>
          </cell>
          <cell r="F27">
            <v>1</v>
          </cell>
        </row>
      </sheetData>
      <sheetData sheetId="3">
        <row r="8">
          <cell r="C8">
            <v>20</v>
          </cell>
          <cell r="F8">
            <v>80</v>
          </cell>
          <cell r="I8">
            <v>0</v>
          </cell>
        </row>
        <row r="11">
          <cell r="C11">
            <v>0</v>
          </cell>
          <cell r="F11">
            <v>5</v>
          </cell>
          <cell r="I11">
            <v>25</v>
          </cell>
        </row>
        <row r="13">
          <cell r="C13">
            <v>5</v>
          </cell>
          <cell r="F13">
            <v>95</v>
          </cell>
          <cell r="I13">
            <v>70</v>
          </cell>
        </row>
        <row r="15">
          <cell r="C15">
            <v>20</v>
          </cell>
          <cell r="F15">
            <v>0</v>
          </cell>
          <cell r="I15">
            <v>5</v>
          </cell>
        </row>
        <row r="17">
          <cell r="C17">
            <v>20</v>
          </cell>
        </row>
        <row r="18">
          <cell r="F18">
            <v>15</v>
          </cell>
          <cell r="I18">
            <v>15</v>
          </cell>
        </row>
        <row r="19">
          <cell r="C19">
            <v>50</v>
          </cell>
        </row>
        <row r="20">
          <cell r="F20">
            <v>37</v>
          </cell>
        </row>
        <row r="21">
          <cell r="C21">
            <v>5</v>
          </cell>
        </row>
        <row r="22">
          <cell r="F22">
            <v>47</v>
          </cell>
        </row>
        <row r="24">
          <cell r="F24">
            <v>1</v>
          </cell>
        </row>
        <row r="27">
          <cell r="C27">
            <v>0</v>
          </cell>
          <cell r="F27">
            <v>0</v>
          </cell>
        </row>
      </sheetData>
      <sheetData sheetId="4">
        <row r="8">
          <cell r="C8">
            <v>30</v>
          </cell>
          <cell r="F8">
            <v>70</v>
          </cell>
          <cell r="I8">
            <v>0</v>
          </cell>
        </row>
        <row r="11">
          <cell r="C11">
            <v>0</v>
          </cell>
          <cell r="F11">
            <v>30</v>
          </cell>
          <cell r="I11">
            <v>75</v>
          </cell>
        </row>
        <row r="13">
          <cell r="C13">
            <v>15</v>
          </cell>
          <cell r="F13">
            <v>67</v>
          </cell>
          <cell r="I13">
            <v>25</v>
          </cell>
        </row>
        <row r="15">
          <cell r="C15">
            <v>20</v>
          </cell>
          <cell r="F15">
            <v>3</v>
          </cell>
          <cell r="I15">
            <v>0</v>
          </cell>
        </row>
        <row r="17">
          <cell r="C17">
            <v>0</v>
          </cell>
        </row>
        <row r="18">
          <cell r="F18">
            <v>52</v>
          </cell>
          <cell r="I18">
            <v>15</v>
          </cell>
        </row>
        <row r="19">
          <cell r="C19">
            <v>15</v>
          </cell>
        </row>
        <row r="20">
          <cell r="F20">
            <v>40</v>
          </cell>
        </row>
        <row r="21">
          <cell r="C21">
            <v>50</v>
          </cell>
        </row>
        <row r="22">
          <cell r="F22">
            <v>23</v>
          </cell>
        </row>
        <row r="24">
          <cell r="F24">
            <v>5</v>
          </cell>
        </row>
        <row r="27">
          <cell r="C27">
            <v>0</v>
          </cell>
          <cell r="F27">
            <v>0</v>
          </cell>
        </row>
      </sheetData>
      <sheetData sheetId="5">
        <row r="8">
          <cell r="C8">
            <v>25</v>
          </cell>
          <cell r="F8">
            <v>75</v>
          </cell>
          <cell r="I8">
            <v>0</v>
          </cell>
        </row>
        <row r="11">
          <cell r="C11">
            <v>0</v>
          </cell>
          <cell r="F11">
            <v>19</v>
          </cell>
          <cell r="I11">
            <v>0</v>
          </cell>
        </row>
        <row r="13">
          <cell r="C13">
            <v>0</v>
          </cell>
          <cell r="F13">
            <v>80</v>
          </cell>
          <cell r="I13">
            <v>97</v>
          </cell>
        </row>
        <row r="15">
          <cell r="C15">
            <v>1</v>
          </cell>
          <cell r="F15">
            <v>1</v>
          </cell>
          <cell r="I15">
            <v>3</v>
          </cell>
        </row>
        <row r="17">
          <cell r="C17">
            <v>19</v>
          </cell>
        </row>
        <row r="18">
          <cell r="F18">
            <v>20</v>
          </cell>
          <cell r="I18">
            <v>55</v>
          </cell>
        </row>
        <row r="19">
          <cell r="C19">
            <v>20</v>
          </cell>
        </row>
        <row r="20">
          <cell r="F20">
            <v>60</v>
          </cell>
        </row>
        <row r="21">
          <cell r="C21">
            <v>60</v>
          </cell>
        </row>
        <row r="22">
          <cell r="F22">
            <v>19</v>
          </cell>
        </row>
        <row r="24">
          <cell r="F24">
            <v>1</v>
          </cell>
        </row>
        <row r="27">
          <cell r="C27">
            <v>1</v>
          </cell>
          <cell r="F27">
            <v>0</v>
          </cell>
        </row>
      </sheetData>
      <sheetData sheetId="6">
        <row r="8">
          <cell r="C8">
            <v>20</v>
          </cell>
          <cell r="F8">
            <v>80</v>
          </cell>
          <cell r="I8">
            <v>0</v>
          </cell>
        </row>
        <row r="11">
          <cell r="C11">
            <v>0</v>
          </cell>
          <cell r="F11">
            <v>18</v>
          </cell>
          <cell r="I11">
            <v>20</v>
          </cell>
        </row>
        <row r="13">
          <cell r="C13">
            <v>0</v>
          </cell>
          <cell r="F13">
            <v>80</v>
          </cell>
          <cell r="I13">
            <v>65</v>
          </cell>
        </row>
        <row r="15">
          <cell r="C15">
            <v>20</v>
          </cell>
          <cell r="F15">
            <v>2</v>
          </cell>
          <cell r="I15">
            <v>15</v>
          </cell>
        </row>
        <row r="17">
          <cell r="C17">
            <v>35</v>
          </cell>
        </row>
        <row r="18">
          <cell r="F18">
            <v>20</v>
          </cell>
          <cell r="I18">
            <v>70</v>
          </cell>
        </row>
        <row r="19">
          <cell r="C19">
            <v>30</v>
          </cell>
        </row>
        <row r="20">
          <cell r="F20">
            <v>75</v>
          </cell>
        </row>
        <row r="21">
          <cell r="C21">
            <v>15</v>
          </cell>
        </row>
        <row r="22">
          <cell r="F22">
            <v>2</v>
          </cell>
        </row>
        <row r="24">
          <cell r="F24">
            <v>3</v>
          </cell>
        </row>
        <row r="27">
          <cell r="C27">
            <v>0</v>
          </cell>
          <cell r="F27">
            <v>0</v>
          </cell>
        </row>
      </sheetData>
      <sheetData sheetId="7">
        <row r="8">
          <cell r="C8">
            <v>5</v>
          </cell>
          <cell r="F8">
            <v>80</v>
          </cell>
          <cell r="I8">
            <v>15</v>
          </cell>
        </row>
        <row r="11">
          <cell r="C11">
            <v>30</v>
          </cell>
          <cell r="F11">
            <v>1</v>
          </cell>
          <cell r="I11">
            <v>90</v>
          </cell>
        </row>
        <row r="13">
          <cell r="C13">
            <v>0</v>
          </cell>
          <cell r="F13">
            <v>99</v>
          </cell>
          <cell r="I13">
            <v>8</v>
          </cell>
        </row>
        <row r="15">
          <cell r="C15">
            <v>0</v>
          </cell>
          <cell r="F15">
            <v>0</v>
          </cell>
          <cell r="I15">
            <v>2</v>
          </cell>
        </row>
        <row r="17">
          <cell r="C17">
            <v>50</v>
          </cell>
        </row>
        <row r="18">
          <cell r="F18">
            <v>2</v>
          </cell>
          <cell r="I18">
            <v>2</v>
          </cell>
        </row>
        <row r="19">
          <cell r="C19">
            <v>20</v>
          </cell>
        </row>
        <row r="20">
          <cell r="F20">
            <v>60</v>
          </cell>
        </row>
        <row r="21">
          <cell r="C21">
            <v>0</v>
          </cell>
        </row>
        <row r="22">
          <cell r="F22">
            <v>35</v>
          </cell>
        </row>
        <row r="24">
          <cell r="F24">
            <v>3</v>
          </cell>
        </row>
        <row r="27">
          <cell r="C27">
            <v>3</v>
          </cell>
          <cell r="F27">
            <v>0</v>
          </cell>
        </row>
      </sheetData>
      <sheetData sheetId="8">
        <row r="8">
          <cell r="C8">
            <v>5</v>
          </cell>
          <cell r="F8">
            <v>95</v>
          </cell>
          <cell r="I8">
            <v>0</v>
          </cell>
        </row>
        <row r="11">
          <cell r="C11">
            <v>0</v>
          </cell>
          <cell r="F11">
            <v>9</v>
          </cell>
          <cell r="I11">
            <v>0</v>
          </cell>
        </row>
        <row r="13">
          <cell r="C13">
            <v>0</v>
          </cell>
          <cell r="F13">
            <v>90</v>
          </cell>
          <cell r="I13">
            <v>100</v>
          </cell>
        </row>
        <row r="15">
          <cell r="C15">
            <v>0</v>
          </cell>
          <cell r="F15">
            <v>1</v>
          </cell>
          <cell r="I15">
            <v>0</v>
          </cell>
        </row>
        <row r="17">
          <cell r="C17">
            <v>10</v>
          </cell>
        </row>
        <row r="18">
          <cell r="F18">
            <v>12</v>
          </cell>
          <cell r="I18">
            <v>45</v>
          </cell>
        </row>
        <row r="19">
          <cell r="C19">
            <v>45</v>
          </cell>
        </row>
        <row r="20">
          <cell r="F20">
            <v>77</v>
          </cell>
        </row>
        <row r="21">
          <cell r="C21">
            <v>45</v>
          </cell>
        </row>
        <row r="22">
          <cell r="F22">
            <v>10</v>
          </cell>
        </row>
        <row r="24">
          <cell r="F24">
            <v>1</v>
          </cell>
        </row>
        <row r="27">
          <cell r="C27">
            <v>0</v>
          </cell>
          <cell r="F2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"/>
  <sheetViews>
    <sheetView tabSelected="1" workbookViewId="0">
      <selection activeCell="D7" sqref="D7"/>
    </sheetView>
  </sheetViews>
  <sheetFormatPr defaultColWidth="8.703125" defaultRowHeight="14.35" x14ac:dyDescent="0.5"/>
  <sheetData>
    <row r="1" spans="1:27" x14ac:dyDescent="0.5">
      <c r="A1" t="s">
        <v>0</v>
      </c>
      <c r="B1" t="s">
        <v>33</v>
      </c>
      <c r="C1" t="s">
        <v>36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5">
      <c r="A2" t="s">
        <v>25</v>
      </c>
      <c r="B2" t="s">
        <v>34</v>
      </c>
      <c r="C2">
        <v>2025</v>
      </c>
      <c r="D2">
        <v>9</v>
      </c>
      <c r="E2">
        <v>4</v>
      </c>
      <c r="F2">
        <f>('[1]Sheet Habitat F1'!C8*0.01)</f>
        <v>0.06</v>
      </c>
      <c r="G2">
        <f>(('[1]Sheet Habitat F1'!C11*0.01)*('[1]Sheet Habitat F1'!C8*0.01))</f>
        <v>0</v>
      </c>
      <c r="H2">
        <f>(('[1]Sheet Habitat F1'!C13*0.01)*('[1]Sheet Habitat F1'!C8*0.01))</f>
        <v>0</v>
      </c>
      <c r="I2">
        <f>(('[1]Sheet Habitat F1'!C15*0.01)*('[1]Sheet Habitat F1'!C8*0.01))</f>
        <v>1.7999999999999999E-2</v>
      </c>
      <c r="J2">
        <f>(('[1]Sheet Habitat F1'!C17*0.01)*('[1]Sheet Habitat F1'!C8*0.01))</f>
        <v>3.3000000000000002E-2</v>
      </c>
      <c r="K2">
        <f>(('[1]Sheet Habitat F1'!C19*0.01)*('[1]Sheet Habitat F1'!C8*0.01))</f>
        <v>3.0000000000000001E-3</v>
      </c>
      <c r="L2">
        <f>(('[1]Sheet Habitat F1'!C21*0.01)*('[1]Sheet Habitat F1'!C8*0.01))</f>
        <v>6.0000000000000001E-3</v>
      </c>
      <c r="M2">
        <f>('[1]Sheet Habitat F1'!F8*0.01)</f>
        <v>0.94000000000000006</v>
      </c>
      <c r="N2">
        <f>(('[1]Sheet Habitat F1'!F11*0.01)*('[1]Sheet Habitat F1'!F8*0.01))</f>
        <v>9.4000000000000004E-3</v>
      </c>
      <c r="O2">
        <f>(('[1]Sheet Habitat F1'!F13*0.01)*('[1]Sheet Habitat F1'!F8*0.01))</f>
        <v>0.92120000000000002</v>
      </c>
      <c r="P2">
        <f>(('[1]Sheet Habitat F1'!F15*0.01)*('[1]Sheet Habitat F1'!F8*0.01))</f>
        <v>9.4000000000000004E-3</v>
      </c>
      <c r="Q2">
        <f>('[1]Sheet Habitat F1'!I8*0.01)</f>
        <v>0</v>
      </c>
      <c r="R2">
        <f>('[1]Sheet Habitat F1'!F18*0.01)</f>
        <v>0.04</v>
      </c>
      <c r="S2">
        <f>('[1]Sheet Habitat F1'!F20*0.01)</f>
        <v>0.25</v>
      </c>
      <c r="T2">
        <f>('[1]Sheet Habitat F1'!F22*0.01)</f>
        <v>0.70000000000000007</v>
      </c>
      <c r="U2">
        <f>('[1]Sheet Habitat F1'!F24*0.01)</f>
        <v>0.01</v>
      </c>
      <c r="V2">
        <f>('[1]Sheet Habitat F1'!I18*0.01)</f>
        <v>0.08</v>
      </c>
      <c r="W2">
        <f>('[1]Sheet Habitat F1'!I11*0.01)</f>
        <v>0.70000000000000007</v>
      </c>
      <c r="X2">
        <f>('[1]Sheet Habitat F1'!I13*0.01)</f>
        <v>0.2</v>
      </c>
      <c r="Y2">
        <f>('[1]Sheet Habitat F1'!I15*0.01)</f>
        <v>0.1</v>
      </c>
      <c r="Z2">
        <f>('[1]Sheet Habitat F1'!C27)</f>
        <v>0</v>
      </c>
      <c r="AA2">
        <f>('[1]Sheet Habitat F1'!F27)</f>
        <v>0</v>
      </c>
    </row>
    <row r="3" spans="1:27" ht="15.7" x14ac:dyDescent="0.55000000000000004">
      <c r="A3" t="s">
        <v>26</v>
      </c>
      <c r="B3" t="s">
        <v>34</v>
      </c>
      <c r="C3">
        <v>2025</v>
      </c>
      <c r="D3">
        <v>20</v>
      </c>
      <c r="E3">
        <v>4</v>
      </c>
      <c r="F3">
        <f>('[1]Sheet Habitat F2'!C8*0.01)</f>
        <v>0.42</v>
      </c>
      <c r="G3">
        <f>(('[1]Sheet Habitat F2'!C11*0.01)*('[1]Sheet Habitat F2'!C8*0.01))</f>
        <v>7.5600000000000001E-2</v>
      </c>
      <c r="H3">
        <f>(('[1]Sheet Habitat F2'!C13*0.01)*('[1]Sheet Habitat F2'!C8*0.01))</f>
        <v>0</v>
      </c>
      <c r="I3">
        <f>(('[1]Sheet Habitat F2'!C15*0.01)*('[1]Sheet Habitat F2'!C8*0.01))</f>
        <v>8.3999999999999995E-3</v>
      </c>
      <c r="J3">
        <f>(('[1]Sheet Habitat F2'!C17*0.01)*('[1]Sheet Habitat F2'!C8*0.01))</f>
        <v>7.5600000000000001E-2</v>
      </c>
      <c r="K3" s="1">
        <f>(('[1]Sheet Habitat F2'!C19*0.01)*('[1]Sheet Habitat F2'!C8*0.01))</f>
        <v>1.6799999999999999E-2</v>
      </c>
      <c r="L3">
        <f>(('[1]Sheet Habitat F2'!C21*0.01)*('[1]Sheet Habitat F2'!C8*0.01))</f>
        <v>0.24359999999999998</v>
      </c>
      <c r="M3">
        <f>('[1]Sheet Habitat F2'!F8*0.01)</f>
        <v>0.55000000000000004</v>
      </c>
      <c r="N3">
        <f>(('[1]Sheet Habitat F2'!F11*0.01)*('[1]Sheet Habitat F2'!F8*0.01))</f>
        <v>2.2000000000000002E-2</v>
      </c>
      <c r="O3">
        <f>(('[1]Sheet Habitat F2'!F13*0.01)*('[1]Sheet Habitat F2'!F8*0.01))</f>
        <v>0.52250000000000008</v>
      </c>
      <c r="P3">
        <f>(('[1]Sheet Habitat F2'!F15*0.01)*('[1]Sheet Habitat F2'!F8*0.01))</f>
        <v>5.5000000000000005E-3</v>
      </c>
      <c r="Q3">
        <f>('[1]Sheet Habitat F2'!I8*0.01)</f>
        <v>0.03</v>
      </c>
      <c r="R3">
        <f>('[1]Sheet Habitat F2'!F18*0.01)</f>
        <v>0.15</v>
      </c>
      <c r="S3">
        <f>('[1]Sheet Habitat F2'!F20*0.01)</f>
        <v>0.45</v>
      </c>
      <c r="T3">
        <f>('[1]Sheet Habitat F2'!F22*0.01)</f>
        <v>0.35000000000000003</v>
      </c>
      <c r="U3">
        <f>('[1]Sheet Habitat F2'!F24*0.01)</f>
        <v>0.05</v>
      </c>
      <c r="V3">
        <f>('[1]Sheet Habitat F2'!I18*0.01)</f>
        <v>0.05</v>
      </c>
      <c r="W3">
        <f>('[1]Sheet Habitat F2'!I11*0.01)</f>
        <v>0.8</v>
      </c>
      <c r="X3">
        <f>('[1]Sheet Habitat F2'!I13*0.01)</f>
        <v>0.15</v>
      </c>
      <c r="Y3">
        <f>('[1]Sheet Habitat F2'!I15*0.01)</f>
        <v>0.05</v>
      </c>
      <c r="Z3">
        <f>('[1]Sheet Habitat F2'!C27)</f>
        <v>4</v>
      </c>
      <c r="AA3">
        <f>('[1]Sheet Habitat F2'!F27)</f>
        <v>1</v>
      </c>
    </row>
    <row r="4" spans="1:27" x14ac:dyDescent="0.5">
      <c r="A4" t="s">
        <v>27</v>
      </c>
      <c r="B4" t="s">
        <v>34</v>
      </c>
      <c r="C4">
        <v>2025</v>
      </c>
      <c r="D4">
        <v>2</v>
      </c>
      <c r="E4">
        <v>2</v>
      </c>
      <c r="F4">
        <f>('[1]Sheet Habitat F3'!C8*0.01)</f>
        <v>0.2</v>
      </c>
      <c r="G4">
        <f>(('[1]Sheet Habitat F3'!C11*0.01)*('[1]Sheet Habitat F3'!C8*0.01))</f>
        <v>0</v>
      </c>
      <c r="H4">
        <f>(('[1]Sheet Habitat F3'!C13*0.01)*('[1]Sheet Habitat F3'!C8*0.01))</f>
        <v>1.0000000000000002E-2</v>
      </c>
      <c r="I4">
        <f>(('[1]Sheet Habitat F3'!C15*0.01)*('[1]Sheet Habitat F3'!C8*0.01))</f>
        <v>4.0000000000000008E-2</v>
      </c>
      <c r="J4">
        <f>(('[1]Sheet Habitat F3'!C17*0.01)*('[1]Sheet Habitat F3'!C8*0.01))</f>
        <v>4.0000000000000008E-2</v>
      </c>
      <c r="K4">
        <f>(('[1]Sheet Habitat F3'!C19*0.01)*('[1]Sheet Habitat F3'!C8*0.01))</f>
        <v>0.1</v>
      </c>
      <c r="L4">
        <f>(('[1]Sheet Habitat F3'!C21*0.01)*('[1]Sheet Habitat F3'!C8*0.01))</f>
        <v>1.0000000000000002E-2</v>
      </c>
      <c r="M4">
        <f>('[1]Sheet Habitat F3'!F8*0.01)</f>
        <v>0.8</v>
      </c>
      <c r="N4">
        <f>(('[1]Sheet Habitat F3'!F11*0.01)*('[1]Sheet Habitat F3'!F8*0.01))</f>
        <v>4.0000000000000008E-2</v>
      </c>
      <c r="O4">
        <f>(('[1]Sheet Habitat F3'!F13*0.01)*('[1]Sheet Habitat F3'!F8*0.01))</f>
        <v>0.76000000000000012</v>
      </c>
      <c r="P4">
        <f>(('[1]Sheet Habitat F3'!F15*0.01)*('[1]Sheet Habitat F3'!F8*0.01))</f>
        <v>0</v>
      </c>
      <c r="Q4">
        <f>('[1]Sheet Habitat F3'!I8*0.01)</f>
        <v>0</v>
      </c>
      <c r="R4">
        <f>('[1]Sheet Habitat F3'!F18*0.01)</f>
        <v>0.15</v>
      </c>
      <c r="S4">
        <f>('[1]Sheet Habitat F3'!F20*0.01)</f>
        <v>0.37</v>
      </c>
      <c r="T4">
        <f>('[1]Sheet Habitat F3'!F22*0.01)</f>
        <v>0.47000000000000003</v>
      </c>
      <c r="U4">
        <f>('[1]Sheet Habitat F3'!F24*0.01)</f>
        <v>0.01</v>
      </c>
      <c r="V4">
        <f>('[1]Sheet Habitat F3'!I18*0.01)</f>
        <v>0.15</v>
      </c>
      <c r="W4">
        <f>('[1]Sheet Habitat F3'!I11*0.01)</f>
        <v>0.25</v>
      </c>
      <c r="X4">
        <f>('[1]Sheet Habitat F3'!I13*0.01)</f>
        <v>0.70000000000000007</v>
      </c>
      <c r="Y4">
        <f>('[1]Sheet Habitat F3'!I15*0.01)</f>
        <v>0.05</v>
      </c>
      <c r="Z4">
        <f>('[1]Sheet Habitat F3'!C27)</f>
        <v>0</v>
      </c>
      <c r="AA4">
        <f>('[1]Sheet Habitat F3'!F27)</f>
        <v>0</v>
      </c>
    </row>
    <row r="5" spans="1:27" x14ac:dyDescent="0.5">
      <c r="A5" t="s">
        <v>28</v>
      </c>
      <c r="B5" t="s">
        <v>34</v>
      </c>
      <c r="C5">
        <v>2025</v>
      </c>
      <c r="D5">
        <v>16</v>
      </c>
      <c r="E5">
        <v>6</v>
      </c>
      <c r="F5">
        <f>('[1]Sheet Habitat F4'!C8*0.01)</f>
        <v>0.3</v>
      </c>
      <c r="G5">
        <f>(('[1]Sheet Habitat F4'!C11*0.01)*('[1]Sheet Habitat F4'!C8*0.01))</f>
        <v>0</v>
      </c>
      <c r="H5">
        <f>(('[1]Sheet Habitat F4'!C13*0.01)*('[1]Sheet Habitat F4'!C8*0.01))</f>
        <v>4.4999999999999998E-2</v>
      </c>
      <c r="I5">
        <f>(('[1]Sheet Habitat F4'!C15*0.01)*('[1]Sheet Habitat F4'!C8*0.01))</f>
        <v>0.06</v>
      </c>
      <c r="J5">
        <f>(('[1]Sheet Habitat F4'!C17*0.01)*('[1]Sheet Habitat F4'!C8*0.01))</f>
        <v>0</v>
      </c>
      <c r="K5">
        <f>(('[1]Sheet Habitat F4'!C19*0.01)*('[1]Sheet Habitat F4'!C8*0.01))</f>
        <v>4.4999999999999998E-2</v>
      </c>
      <c r="L5">
        <f>(('[1]Sheet Habitat F4'!C21*0.01)*('[1]Sheet Habitat F4'!C8*0.01))</f>
        <v>0.15</v>
      </c>
      <c r="M5">
        <f>('[1]Sheet Habitat F4'!F8*0.01)</f>
        <v>0.70000000000000007</v>
      </c>
      <c r="N5">
        <f>(('[1]Sheet Habitat F4'!F11*0.01)*('[1]Sheet Habitat F4'!F8*0.01))</f>
        <v>0.21000000000000002</v>
      </c>
      <c r="O5">
        <f>(('[1]Sheet Habitat F4'!F13*0.01)*('[1]Sheet Habitat F4'!F8*0.01))</f>
        <v>0.46900000000000008</v>
      </c>
      <c r="P5">
        <f>(('[1]Sheet Habitat F4'!F15*0.01)*('[1]Sheet Habitat F4'!F8*0.01))</f>
        <v>2.1000000000000001E-2</v>
      </c>
      <c r="Q5">
        <f>('[1]Sheet Habitat F4'!I8*0.01)</f>
        <v>0</v>
      </c>
      <c r="R5">
        <f>('[1]Sheet Habitat F4'!F18*0.01)</f>
        <v>0.52</v>
      </c>
      <c r="S5">
        <f>('[1]Sheet Habitat F4'!F20*0.01)</f>
        <v>0.4</v>
      </c>
      <c r="T5">
        <f>('[1]Sheet Habitat F4'!F22*0.01)</f>
        <v>0.23</v>
      </c>
      <c r="U5">
        <f>('[1]Sheet Habitat F4'!F24*0.01)</f>
        <v>0.05</v>
      </c>
      <c r="V5">
        <f>('[1]Sheet Habitat F4'!I18*0.01)</f>
        <v>0.15</v>
      </c>
      <c r="W5">
        <f>('[1]Sheet Habitat F4'!I11*0.01)</f>
        <v>0.75</v>
      </c>
      <c r="X5">
        <f>('[1]Sheet Habitat F4'!I13*0.01)</f>
        <v>0.25</v>
      </c>
      <c r="Y5">
        <f>('[1]Sheet Habitat F4'!I15*0.01)</f>
        <v>0</v>
      </c>
      <c r="Z5">
        <f>('[1]Sheet Habitat F4'!C27)</f>
        <v>0</v>
      </c>
      <c r="AA5">
        <f>('[1]Sheet Habitat F4'!F27)</f>
        <v>0</v>
      </c>
    </row>
    <row r="6" spans="1:27" x14ac:dyDescent="0.5">
      <c r="A6" t="s">
        <v>29</v>
      </c>
      <c r="B6" t="s">
        <v>35</v>
      </c>
      <c r="C6">
        <v>2025</v>
      </c>
      <c r="D6">
        <v>2</v>
      </c>
      <c r="E6">
        <v>2</v>
      </c>
      <c r="F6">
        <f>('[1]Sheet Habitat C1'!C8*0.01)</f>
        <v>0.25</v>
      </c>
      <c r="G6">
        <f>(('[1]Sheet Habitat C1'!C11*0.01)*('[1]Sheet Habitat C1'!C8*0.01))</f>
        <v>0</v>
      </c>
      <c r="H6">
        <f>(('[1]Sheet Habitat C1'!C13*0.01)*('[1]Sheet Habitat C1'!C8*0.01))</f>
        <v>0</v>
      </c>
      <c r="I6">
        <f>(('[1]Sheet Habitat C1'!C15*0.01)*('[1]Sheet Habitat C1'!C8*0.01))</f>
        <v>2.5000000000000001E-3</v>
      </c>
      <c r="J6">
        <f>(('[1]Sheet Habitat C1'!C17*0.01)*('[1]Sheet Habitat C1'!C8*0.01))</f>
        <v>4.7500000000000001E-2</v>
      </c>
      <c r="K6">
        <f>(('[1]Sheet Habitat C1'!C19*0.01)*('[1]Sheet Habitat C1'!C8*0.01))</f>
        <v>0.05</v>
      </c>
      <c r="L6">
        <f>(('[1]Sheet Habitat C1'!C21*0.01)*('[1]Sheet Habitat C1'!C8*0.01))</f>
        <v>0.15</v>
      </c>
      <c r="M6">
        <f>('[1]Sheet Habitat C1'!F8*0.01)</f>
        <v>0.75</v>
      </c>
      <c r="N6">
        <f>(('[1]Sheet Habitat C1'!F11*0.01)*('[1]Sheet Habitat C1'!F8*0.01))</f>
        <v>0.14250000000000002</v>
      </c>
      <c r="O6">
        <f>(('[1]Sheet Habitat C1'!F13*0.01)*('[1]Sheet Habitat C1'!F8*0.01))</f>
        <v>0.60000000000000009</v>
      </c>
      <c r="P6">
        <f>(('[1]Sheet Habitat C1'!F15*0.01)*('[1]Sheet Habitat C1'!F8*0.01))</f>
        <v>7.4999999999999997E-3</v>
      </c>
      <c r="Q6">
        <f>('[1]Sheet Habitat C1'!I8*0.01)</f>
        <v>0</v>
      </c>
      <c r="R6">
        <f>('[1]Sheet Habitat C1'!F18*0.01)</f>
        <v>0.2</v>
      </c>
      <c r="S6">
        <f>('[1]Sheet Habitat C1'!F20*0.01)</f>
        <v>0.6</v>
      </c>
      <c r="T6">
        <f>('[1]Sheet Habitat C1'!F22*0.01)</f>
        <v>0.19</v>
      </c>
      <c r="U6">
        <f>('[1]Sheet Habitat C1'!F24*0.01)</f>
        <v>0.01</v>
      </c>
      <c r="V6">
        <f>('[1]Sheet Habitat C1'!I18*0.01)</f>
        <v>0.55000000000000004</v>
      </c>
      <c r="W6">
        <f>('[1]Sheet Habitat C1'!I11*0.01)</f>
        <v>0</v>
      </c>
      <c r="X6">
        <f>('[1]Sheet Habitat C1'!I13*0.01)</f>
        <v>0.97</v>
      </c>
      <c r="Y6">
        <f>('[1]Sheet Habitat C1'!I15*0.01)</f>
        <v>0.03</v>
      </c>
      <c r="Z6">
        <f>('[1]Sheet Habitat C1'!C27)</f>
        <v>1</v>
      </c>
      <c r="AA6">
        <f>('[1]Sheet Habitat C1'!F27)</f>
        <v>0</v>
      </c>
    </row>
    <row r="7" spans="1:27" x14ac:dyDescent="0.5">
      <c r="A7" t="s">
        <v>30</v>
      </c>
      <c r="B7" t="s">
        <v>35</v>
      </c>
      <c r="C7">
        <v>2025</v>
      </c>
      <c r="D7">
        <v>3</v>
      </c>
      <c r="E7">
        <v>3</v>
      </c>
      <c r="F7">
        <f>('[1]Sheet Habitat C2'!C8*0.01)</f>
        <v>0.2</v>
      </c>
      <c r="G7">
        <f>(('[1]Sheet Habitat C2'!C11*0.01)*('[1]Sheet Habitat C2'!C8*0.01))</f>
        <v>0</v>
      </c>
      <c r="H7">
        <f>(('[1]Sheet Habitat C2'!C13*0.01)*('[1]Sheet Habitat C2'!C8*0.01))</f>
        <v>0</v>
      </c>
      <c r="I7">
        <f>(('[1]Sheet Habitat C2'!C15*0.01)*('[1]Sheet Habitat C2'!C8*0.01))</f>
        <v>4.0000000000000008E-2</v>
      </c>
      <c r="J7">
        <f>(('[1]Sheet Habitat C2'!C17*0.01)*('[1]Sheet Habitat C2'!C8*0.01))</f>
        <v>7.0000000000000007E-2</v>
      </c>
      <c r="K7">
        <f>(('[1]Sheet Habitat C2'!C19*0.01)*('[1]Sheet Habitat C2'!C8*0.01))</f>
        <v>0.06</v>
      </c>
      <c r="L7">
        <f>(('[1]Sheet Habitat C2'!C21*0.01)*('[1]Sheet Habitat C2'!C8*0.01))</f>
        <v>0.03</v>
      </c>
      <c r="M7">
        <f>('[1]Sheet Habitat C2'!F8*0.01)</f>
        <v>0.8</v>
      </c>
      <c r="N7">
        <f>(('[1]Sheet Habitat C2'!F11*0.01)*('[1]Sheet Habitat C2'!F8*0.01))</f>
        <v>0.14399999999999999</v>
      </c>
      <c r="O7">
        <f>(('[1]Sheet Habitat C2'!F13*0.01)*('[1]Sheet Habitat C2'!F8*0.01))</f>
        <v>0.64000000000000012</v>
      </c>
      <c r="P7">
        <f>(('[1]Sheet Habitat C2'!F15*0.01)*('[1]Sheet Habitat C2'!F8*0.01))</f>
        <v>1.6E-2</v>
      </c>
      <c r="Q7">
        <f>('[1]Sheet Habitat C2'!I8*0.01)</f>
        <v>0</v>
      </c>
      <c r="R7">
        <f>('[1]Sheet Habitat C2'!F18*0.01)</f>
        <v>0.2</v>
      </c>
      <c r="S7">
        <f>('[1]Sheet Habitat C2'!F20*0.01)</f>
        <v>0.75</v>
      </c>
      <c r="T7">
        <f>('[1]Sheet Habitat C2'!F22*0.01)</f>
        <v>0.02</v>
      </c>
      <c r="U7">
        <f>('[1]Sheet Habitat C2'!F24*0.01)</f>
        <v>0.03</v>
      </c>
      <c r="V7">
        <f>('[1]Sheet Habitat C2'!I18*0.01)</f>
        <v>0.70000000000000007</v>
      </c>
      <c r="W7">
        <f>('[1]Sheet Habitat C2'!I11*0.01)</f>
        <v>0.2</v>
      </c>
      <c r="X7">
        <f>('[1]Sheet Habitat C2'!I13*0.01)</f>
        <v>0.65</v>
      </c>
      <c r="Y7">
        <f>('[1]Sheet Habitat C2'!I15*0.01)</f>
        <v>0.15</v>
      </c>
      <c r="Z7">
        <f>('[1]Sheet Habitat C2'!C27)</f>
        <v>0</v>
      </c>
      <c r="AA7">
        <f>('[1]Sheet Habitat C2'!F27)</f>
        <v>0</v>
      </c>
    </row>
    <row r="8" spans="1:27" x14ac:dyDescent="0.5">
      <c r="A8" t="s">
        <v>31</v>
      </c>
      <c r="B8" t="s">
        <v>35</v>
      </c>
      <c r="C8">
        <v>2025</v>
      </c>
      <c r="D8">
        <v>58</v>
      </c>
      <c r="E8">
        <v>7</v>
      </c>
      <c r="F8">
        <f>('[1]Sheet Habitat C3'!C8*0.01)</f>
        <v>0.05</v>
      </c>
      <c r="G8">
        <f>(('[1]Sheet Habitat C3'!C11*0.01)*('[1]Sheet Habitat C3'!C8*0.01))</f>
        <v>1.4999999999999999E-2</v>
      </c>
      <c r="H8">
        <f>(('[1]Sheet Habitat C3'!C13*0.01)*('[1]Sheet Habitat C3'!C8*0.01))</f>
        <v>0</v>
      </c>
      <c r="I8">
        <f>(('[1]Sheet Habitat C3'!C15*0.01)*('[1]Sheet Habitat C3'!C8*0.01))</f>
        <v>0</v>
      </c>
      <c r="J8">
        <f>(('[1]Sheet Habitat C3'!C17*0.01)*('[1]Sheet Habitat C3'!C8*0.01))</f>
        <v>2.5000000000000001E-2</v>
      </c>
      <c r="K8">
        <f>(('[1]Sheet Habitat C3'!C19*0.01)*('[1]Sheet Habitat C3'!C8*0.01))</f>
        <v>1.0000000000000002E-2</v>
      </c>
      <c r="L8">
        <f>(('[1]Sheet Habitat C3'!C21*0.01)*('[1]Sheet Habitat C3'!C8*0.01))</f>
        <v>0</v>
      </c>
      <c r="M8">
        <f>('[1]Sheet Habitat C3'!F8*0.01)</f>
        <v>0.8</v>
      </c>
      <c r="N8">
        <f>(('[1]Sheet Habitat C3'!F11*0.01)*('[1]Sheet Habitat C3'!F8*0.01))</f>
        <v>8.0000000000000002E-3</v>
      </c>
      <c r="O8">
        <f>(('[1]Sheet Habitat C3'!F13*0.01)*('[1]Sheet Habitat C3'!F8*0.01))</f>
        <v>0.79200000000000004</v>
      </c>
      <c r="P8">
        <f>(('[1]Sheet Habitat C3'!F15*0.01)*('[1]Sheet Habitat C3'!F8*0.01))</f>
        <v>0</v>
      </c>
      <c r="Q8">
        <f>('[1]Sheet Habitat C3'!I8*0.01)</f>
        <v>0.15</v>
      </c>
      <c r="R8">
        <f>('[1]Sheet Habitat C3'!F18*0.01)</f>
        <v>0.02</v>
      </c>
      <c r="S8">
        <f>('[1]Sheet Habitat C3'!F20*0.01)</f>
        <v>0.6</v>
      </c>
      <c r="T8">
        <f>('[1]Sheet Habitat C3'!F22*0.01)</f>
        <v>0.35000000000000003</v>
      </c>
      <c r="U8">
        <f>('[1]Sheet Habitat C3'!F24*0.01)</f>
        <v>0.03</v>
      </c>
      <c r="V8">
        <f>('[1]Sheet Habitat C3'!I18*0.01)</f>
        <v>0.02</v>
      </c>
      <c r="W8">
        <f>('[1]Sheet Habitat C3'!I11*0.01)</f>
        <v>0.9</v>
      </c>
      <c r="X8">
        <f>('[1]Sheet Habitat C3'!I13*0.01)</f>
        <v>0.08</v>
      </c>
      <c r="Y8">
        <f>('[1]Sheet Habitat C3'!I15*0.01)</f>
        <v>0.02</v>
      </c>
      <c r="Z8">
        <f>('[1]Sheet Habitat C3'!C27)</f>
        <v>3</v>
      </c>
      <c r="AA8">
        <f>('[1]Sheet Habitat C3'!F27)</f>
        <v>0</v>
      </c>
    </row>
    <row r="9" spans="1:27" x14ac:dyDescent="0.5">
      <c r="A9" t="s">
        <v>32</v>
      </c>
      <c r="B9" t="s">
        <v>35</v>
      </c>
      <c r="C9">
        <v>2025</v>
      </c>
      <c r="D9">
        <v>11</v>
      </c>
      <c r="E9">
        <v>5</v>
      </c>
      <c r="F9">
        <f>('[1]Sheet Habitat C4'!C8*0.01)</f>
        <v>0.05</v>
      </c>
      <c r="G9">
        <f>(('[1]Sheet Habitat C4'!C11*0.01)*('[1]Sheet Habitat C4'!C8*0.01))</f>
        <v>0</v>
      </c>
      <c r="H9">
        <f>(('[1]Sheet Habitat C4'!C13*0.01)*('[1]Sheet Habitat C4'!C8*0.01))</f>
        <v>0</v>
      </c>
      <c r="I9">
        <f>(('[1]Sheet Habitat C4'!C15*0.01)*('[1]Sheet Habitat C4'!C8*0.01))</f>
        <v>0</v>
      </c>
      <c r="J9">
        <f>(('[1]Sheet Habitat C4'!C17*0.01)*('[1]Sheet Habitat C4'!C8*0.01))</f>
        <v>5.000000000000001E-3</v>
      </c>
      <c r="K9">
        <f>(('[1]Sheet Habitat C4'!C19*0.01)*('[1]Sheet Habitat C4'!C8*0.01))</f>
        <v>2.2500000000000003E-2</v>
      </c>
      <c r="L9">
        <f>(('[1]Sheet Habitat C4'!C21*0.01)*('[1]Sheet Habitat C4'!C8*0.01))</f>
        <v>2.2500000000000003E-2</v>
      </c>
      <c r="M9">
        <f>('[1]Sheet Habitat C4'!F8*0.01)</f>
        <v>0.95000000000000007</v>
      </c>
      <c r="N9">
        <f>(('[1]Sheet Habitat C4'!F11*0.01)*('[1]Sheet Habitat C4'!F8*0.01))</f>
        <v>8.5500000000000007E-2</v>
      </c>
      <c r="O9">
        <f>(('[1]Sheet Habitat C4'!F13*0.01)*('[1]Sheet Habitat C4'!F8*0.01))</f>
        <v>0.85500000000000009</v>
      </c>
      <c r="P9">
        <f>(('[1]Sheet Habitat C4'!F15*0.01)*('[1]Sheet Habitat C4'!F8*0.01))</f>
        <v>9.5000000000000015E-3</v>
      </c>
      <c r="Q9">
        <f>('[1]Sheet Habitat C4'!I8*0.01)</f>
        <v>0</v>
      </c>
      <c r="R9">
        <f>('[1]Sheet Habitat C4'!F18*0.01)</f>
        <v>0.12</v>
      </c>
      <c r="S9">
        <f>('[1]Sheet Habitat C4'!F20*0.01)</f>
        <v>0.77</v>
      </c>
      <c r="T9">
        <f>('[1]Sheet Habitat C4'!F22*0.01)</f>
        <v>0.1</v>
      </c>
      <c r="U9">
        <f>('[1]Sheet Habitat C4'!F24*0.01)</f>
        <v>0.01</v>
      </c>
      <c r="V9">
        <f>('[1]Sheet Habitat C4'!I18*0.01)</f>
        <v>0.45</v>
      </c>
      <c r="W9">
        <f>('[1]Sheet Habitat C4'!I11*0.01)</f>
        <v>0</v>
      </c>
      <c r="X9">
        <f>('[1]Sheet Habitat C4'!I13*0.01)</f>
        <v>1</v>
      </c>
      <c r="Y9">
        <f>('[1]Sheet Habitat C4'!I15*0.01)</f>
        <v>0</v>
      </c>
      <c r="Z9">
        <f>('[1]Sheet Habitat C4'!C27)</f>
        <v>0</v>
      </c>
      <c r="AA9">
        <f>('[1]Sheet Habitat C4'!F27)</f>
        <v>0</v>
      </c>
    </row>
    <row r="10" spans="1:27" x14ac:dyDescent="0.5">
      <c r="A10" t="s">
        <v>29</v>
      </c>
      <c r="B10" t="s">
        <v>35</v>
      </c>
      <c r="C10">
        <v>2026</v>
      </c>
      <c r="D10">
        <v>2</v>
      </c>
      <c r="E10">
        <v>2</v>
      </c>
      <c r="F10">
        <v>0.18</v>
      </c>
      <c r="G10">
        <v>0</v>
      </c>
      <c r="H10">
        <v>0</v>
      </c>
      <c r="I10">
        <v>0</v>
      </c>
      <c r="J10">
        <v>0</v>
      </c>
      <c r="K10">
        <v>0.14399999999999999</v>
      </c>
      <c r="L10">
        <v>3.5999999999999997E-2</v>
      </c>
      <c r="M10">
        <v>0.82</v>
      </c>
      <c r="N10">
        <v>2.46E-2</v>
      </c>
      <c r="O10">
        <v>0.77080000000000004</v>
      </c>
      <c r="P10">
        <v>8.2000000000000007E-3</v>
      </c>
      <c r="Q10">
        <v>0</v>
      </c>
      <c r="R10">
        <v>0.15</v>
      </c>
      <c r="S10">
        <v>0.34</v>
      </c>
      <c r="T10">
        <v>0.5</v>
      </c>
      <c r="U10">
        <v>0.01</v>
      </c>
      <c r="V10" t="s">
        <v>37</v>
      </c>
      <c r="W10">
        <v>0.1</v>
      </c>
      <c r="X10">
        <v>0.9</v>
      </c>
      <c r="Y10">
        <v>0</v>
      </c>
      <c r="Z10">
        <v>0</v>
      </c>
      <c r="AA10">
        <v>0</v>
      </c>
    </row>
    <row r="11" spans="1:27" x14ac:dyDescent="0.5">
      <c r="A11" t="s">
        <v>30</v>
      </c>
      <c r="B11" t="s">
        <v>35</v>
      </c>
      <c r="C11">
        <v>2026</v>
      </c>
      <c r="D11">
        <v>0</v>
      </c>
      <c r="E11">
        <v>0</v>
      </c>
      <c r="F11">
        <v>0.1</v>
      </c>
      <c r="G11">
        <v>0.05</v>
      </c>
      <c r="H11">
        <v>2.5000000000000001E-2</v>
      </c>
      <c r="I11">
        <v>0</v>
      </c>
      <c r="J11">
        <v>5.0000000000000001E-3</v>
      </c>
      <c r="K11">
        <v>0.01</v>
      </c>
      <c r="L11">
        <v>0.01</v>
      </c>
      <c r="M11">
        <v>0.8</v>
      </c>
      <c r="N11">
        <v>0.12</v>
      </c>
      <c r="O11">
        <v>0.67200000000000004</v>
      </c>
      <c r="P11">
        <v>0</v>
      </c>
      <c r="Q11">
        <v>0.1</v>
      </c>
      <c r="R11">
        <v>0.15</v>
      </c>
      <c r="S11">
        <v>0.42</v>
      </c>
      <c r="T11">
        <v>0.4</v>
      </c>
      <c r="U11">
        <v>0.03</v>
      </c>
      <c r="V11" t="s">
        <v>37</v>
      </c>
      <c r="W11">
        <v>0.5</v>
      </c>
      <c r="X11">
        <v>0.5</v>
      </c>
      <c r="Y11">
        <v>0</v>
      </c>
      <c r="Z11">
        <v>1</v>
      </c>
      <c r="AA11">
        <v>0</v>
      </c>
    </row>
    <row r="12" spans="1:27" x14ac:dyDescent="0.5">
      <c r="A12" t="s">
        <v>31</v>
      </c>
      <c r="B12" t="s">
        <v>35</v>
      </c>
      <c r="C12">
        <v>2026</v>
      </c>
      <c r="D12">
        <v>11</v>
      </c>
      <c r="E12">
        <v>4</v>
      </c>
      <c r="F12">
        <v>0.25</v>
      </c>
      <c r="G12">
        <v>0</v>
      </c>
      <c r="H12">
        <v>0</v>
      </c>
      <c r="I12">
        <v>0</v>
      </c>
      <c r="J12">
        <v>0</v>
      </c>
      <c r="K12">
        <v>0.245</v>
      </c>
      <c r="L12">
        <v>5.0000000000000001E-3</v>
      </c>
      <c r="M12">
        <v>0.75</v>
      </c>
      <c r="N12">
        <v>0.15</v>
      </c>
      <c r="O12">
        <v>0.55500000000000005</v>
      </c>
      <c r="P12">
        <v>2.2499999999999999E-2</v>
      </c>
      <c r="Q12">
        <v>0</v>
      </c>
      <c r="R12">
        <v>0.4</v>
      </c>
      <c r="S12">
        <v>0.47</v>
      </c>
      <c r="T12">
        <v>0.1</v>
      </c>
      <c r="U12">
        <v>0.03</v>
      </c>
      <c r="V12" t="s">
        <v>37</v>
      </c>
      <c r="W12">
        <v>0.1</v>
      </c>
      <c r="X12">
        <v>0.9</v>
      </c>
      <c r="Y12">
        <v>0</v>
      </c>
      <c r="Z12">
        <v>0</v>
      </c>
      <c r="AA12">
        <v>0</v>
      </c>
    </row>
    <row r="13" spans="1:27" x14ac:dyDescent="0.5">
      <c r="A13" t="s">
        <v>32</v>
      </c>
      <c r="B13" t="s">
        <v>35</v>
      </c>
      <c r="C13">
        <v>2026</v>
      </c>
      <c r="D13">
        <v>6</v>
      </c>
      <c r="E13">
        <v>2</v>
      </c>
      <c r="F13">
        <v>0.2</v>
      </c>
      <c r="G13">
        <v>0.18</v>
      </c>
      <c r="H13">
        <v>0</v>
      </c>
      <c r="I13">
        <v>0</v>
      </c>
      <c r="J13">
        <v>0.02</v>
      </c>
      <c r="K13">
        <v>0</v>
      </c>
      <c r="L13">
        <v>0</v>
      </c>
      <c r="M13">
        <v>0.75</v>
      </c>
      <c r="N13">
        <v>3.7499999999999999E-2</v>
      </c>
      <c r="O13">
        <v>0.58499999999999996</v>
      </c>
      <c r="P13">
        <v>0.1125</v>
      </c>
      <c r="Q13">
        <v>0.05</v>
      </c>
      <c r="R13">
        <v>0.15</v>
      </c>
      <c r="S13">
        <v>0.3</v>
      </c>
      <c r="T13">
        <v>0.38</v>
      </c>
      <c r="U13">
        <v>0.17</v>
      </c>
      <c r="V13" t="s">
        <v>37</v>
      </c>
      <c r="W13">
        <v>1</v>
      </c>
      <c r="X13">
        <v>0</v>
      </c>
      <c r="Y13">
        <v>0</v>
      </c>
      <c r="Z13">
        <v>1</v>
      </c>
      <c r="AA13">
        <v>0</v>
      </c>
    </row>
    <row r="14" spans="1:27" x14ac:dyDescent="0.5">
      <c r="A14" t="s">
        <v>25</v>
      </c>
      <c r="B14" t="s">
        <v>34</v>
      </c>
      <c r="C14">
        <v>2026</v>
      </c>
      <c r="D14">
        <v>4</v>
      </c>
      <c r="E14">
        <v>1</v>
      </c>
      <c r="F14">
        <v>0.65</v>
      </c>
      <c r="G14">
        <v>0</v>
      </c>
      <c r="H14">
        <v>0.58499999999999996</v>
      </c>
      <c r="I14">
        <v>0</v>
      </c>
      <c r="J14">
        <v>0</v>
      </c>
      <c r="K14">
        <v>6.5000000000000002E-2</v>
      </c>
      <c r="L14">
        <v>0</v>
      </c>
      <c r="M14">
        <v>0.35</v>
      </c>
      <c r="N14">
        <v>0</v>
      </c>
      <c r="O14">
        <v>0.32550000000000001</v>
      </c>
      <c r="P14">
        <v>7.0000000000000001E-3</v>
      </c>
      <c r="Q14">
        <v>0</v>
      </c>
      <c r="R14">
        <v>0.2</v>
      </c>
      <c r="S14">
        <v>0.45</v>
      </c>
      <c r="T14">
        <v>0.25</v>
      </c>
      <c r="U14">
        <v>0.1</v>
      </c>
      <c r="V14" t="s">
        <v>37</v>
      </c>
      <c r="W14">
        <v>0.95</v>
      </c>
      <c r="X14">
        <v>0</v>
      </c>
      <c r="Y14">
        <v>0.05</v>
      </c>
      <c r="Z14">
        <v>1</v>
      </c>
      <c r="AA14">
        <v>0</v>
      </c>
    </row>
    <row r="15" spans="1:27" x14ac:dyDescent="0.5">
      <c r="A15" t="s">
        <v>26</v>
      </c>
      <c r="B15" t="s">
        <v>34</v>
      </c>
      <c r="C15">
        <v>2026</v>
      </c>
      <c r="D15">
        <v>24</v>
      </c>
      <c r="E15">
        <v>7</v>
      </c>
      <c r="F15">
        <v>0.15</v>
      </c>
      <c r="G15">
        <v>6.7500000000000004E-2</v>
      </c>
      <c r="H15">
        <v>7.4999999999999997E-3</v>
      </c>
      <c r="I15">
        <v>0</v>
      </c>
      <c r="J15">
        <v>0</v>
      </c>
      <c r="K15">
        <v>0</v>
      </c>
      <c r="L15">
        <v>7.4999999999999997E-2</v>
      </c>
      <c r="M15">
        <v>0.8</v>
      </c>
      <c r="N15">
        <v>0</v>
      </c>
      <c r="O15">
        <v>0.72</v>
      </c>
      <c r="P15">
        <v>0.08</v>
      </c>
      <c r="Q15">
        <v>0.05</v>
      </c>
      <c r="R15">
        <v>0.05</v>
      </c>
      <c r="S15">
        <v>0.15</v>
      </c>
      <c r="T15">
        <v>0.4</v>
      </c>
      <c r="U15">
        <v>0.4</v>
      </c>
      <c r="V15" t="s">
        <v>37</v>
      </c>
      <c r="W15">
        <v>1</v>
      </c>
      <c r="X15">
        <v>0</v>
      </c>
      <c r="Y15">
        <v>0</v>
      </c>
      <c r="Z15">
        <v>1</v>
      </c>
      <c r="AA15">
        <v>0</v>
      </c>
    </row>
    <row r="16" spans="1:27" x14ac:dyDescent="0.5">
      <c r="A16" t="s">
        <v>27</v>
      </c>
      <c r="B16" t="s">
        <v>34</v>
      </c>
      <c r="C16">
        <v>2026</v>
      </c>
      <c r="D16">
        <v>1</v>
      </c>
      <c r="E16">
        <v>1</v>
      </c>
      <c r="F16">
        <v>0.25</v>
      </c>
      <c r="G16">
        <v>0</v>
      </c>
      <c r="H16">
        <v>0</v>
      </c>
      <c r="I16">
        <v>0</v>
      </c>
      <c r="J16">
        <v>0</v>
      </c>
      <c r="K16">
        <v>0.2</v>
      </c>
      <c r="L16">
        <v>0.05</v>
      </c>
      <c r="M16">
        <v>0.75</v>
      </c>
      <c r="N16">
        <v>7.4999999999999997E-3</v>
      </c>
      <c r="O16">
        <v>0.35249999999999998</v>
      </c>
      <c r="P16">
        <v>0.375</v>
      </c>
      <c r="Q16">
        <v>0</v>
      </c>
      <c r="R16">
        <v>0.15</v>
      </c>
      <c r="S16">
        <v>0.2</v>
      </c>
      <c r="T16">
        <v>0.1</v>
      </c>
      <c r="U16">
        <v>0.55000000000000004</v>
      </c>
      <c r="V16" t="s">
        <v>37</v>
      </c>
      <c r="W16">
        <v>1</v>
      </c>
      <c r="X16">
        <v>0</v>
      </c>
      <c r="Y16">
        <v>0</v>
      </c>
      <c r="Z16">
        <v>1</v>
      </c>
      <c r="AA16">
        <v>0</v>
      </c>
    </row>
    <row r="17" spans="1:27" x14ac:dyDescent="0.5">
      <c r="A17" t="s">
        <v>28</v>
      </c>
      <c r="B17" t="s">
        <v>34</v>
      </c>
      <c r="C17">
        <v>2026</v>
      </c>
      <c r="D17">
        <v>10</v>
      </c>
      <c r="E17">
        <v>3</v>
      </c>
      <c r="F17">
        <v>0.2</v>
      </c>
      <c r="G17">
        <v>0.06</v>
      </c>
      <c r="H17">
        <v>0.06</v>
      </c>
      <c r="I17">
        <v>0</v>
      </c>
      <c r="J17">
        <v>0.05</v>
      </c>
      <c r="K17">
        <v>0</v>
      </c>
      <c r="L17">
        <v>0.03</v>
      </c>
      <c r="M17">
        <v>0.75</v>
      </c>
      <c r="N17">
        <v>3.7499999999999999E-2</v>
      </c>
      <c r="O17">
        <v>0.67500000000000004</v>
      </c>
      <c r="P17">
        <v>2.2499999999999999E-2</v>
      </c>
      <c r="Q17">
        <v>0.05</v>
      </c>
      <c r="R17">
        <v>0.05</v>
      </c>
      <c r="S17">
        <v>0.1</v>
      </c>
      <c r="T17">
        <v>0.6</v>
      </c>
      <c r="U17">
        <v>0.25</v>
      </c>
      <c r="V17" t="s">
        <v>37</v>
      </c>
      <c r="W17">
        <v>1</v>
      </c>
      <c r="X17">
        <v>0</v>
      </c>
      <c r="Y17">
        <v>0</v>
      </c>
      <c r="Z17">
        <v>0</v>
      </c>
      <c r="AA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Arthur Boudier</dc:creator>
  <cp:keywords/>
  <dc:description/>
  <cp:lastModifiedBy>Egloff Gregory Benjamin</cp:lastModifiedBy>
  <cp:revision/>
  <dcterms:created xsi:type="dcterms:W3CDTF">2015-06-05T18:17:20Z</dcterms:created>
  <dcterms:modified xsi:type="dcterms:W3CDTF">2026-05-12T17:01:16Z</dcterms:modified>
  <cp:category/>
  <cp:contentStatus/>
</cp:coreProperties>
</file>